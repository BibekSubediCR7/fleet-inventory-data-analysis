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ek\Downloads\"/>
    </mc:Choice>
  </mc:AlternateContent>
  <xr:revisionPtr revIDLastSave="0" documentId="8_{A4778FA6-8560-47F4-A485-27E99612DE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 1" sheetId="2" r:id="rId1"/>
    <sheet name="Pivot 2" sheetId="3" r:id="rId2"/>
    <sheet name="Pivot 3" sheetId="5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5" r:id="rId5"/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 l="1"/>
  <c r="C52" i="1"/>
  <c r="C1048576" i="1" s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<sst xmlns="http://schemas.openxmlformats.org/spreadsheetml/2006/main" count="165" uniqueCount="37">
  <si>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</si>
  <si>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</si>
  <si>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</si>
  <si>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</si>
  <si>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</si>
  <si>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</si>
  <si>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</si>
  <si>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</si>
  <si>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</si>
  <si>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</si>
  <si>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</si>
  <si>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</si>
  <si>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</si>
  <si>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</si>
  <si>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</si>
  <si>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</si>
  <si>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</si>
  <si>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</si>
  <si>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</si>
  <si>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</si>
  <si>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</si>
  <si>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</si>
  <si>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</si>
  <si>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</si>
  <si>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</si>
  <si>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</si>
  <si>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</si>
  <si>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</si>
  <si>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</si>
  <si>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</si>
  <si>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</si>
  <si>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Minimum</t>
  </si>
  <si>
    <t>Maximum</t>
  </si>
  <si>
    <t>Count</t>
  </si>
  <si>
    <t>Row Labels</t>
  </si>
  <si>
    <t>Sum of Equipment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</si>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</sst>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bek Subedi" refreshedDate="46015.777365277776" createdVersion="8" refreshedVersion="8" minRefreshableVersion="3" recordCount="49" xr:uid="{04CF10C5-53A9-48EC-BF7C-4DAE999D623C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/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bek Subedi" refreshedDate="46015.780474074076" createdVersion="8" refreshedVersion="8" minRefreshableVersion="3" recordCount="49" xr:uid="{CCB8F496-D47D-46F3-A6FF-3F74732F0F45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Pick Up Trucks"/>
    <n v="21"/>
  </r>
  <r>
    <x v="0"/>
    <s v="SUV"/>
    <n v="1"/>
  </r>
  <r>
    <x v="0"/>
    <s v="Sedan"/>
    <n v="23"/>
  </r>
  <r>
    <x v="1"/>
    <s v="Sedan"/>
    <n v="2"/>
  </r>
  <r>
    <x v="2"/>
    <s v="Pick Up Trucks"/>
    <n v="3"/>
  </r>
  <r>
    <x v="2"/>
    <s v="Van"/>
    <n v="2"/>
  </r>
  <r>
    <x v="2"/>
    <s v="Medium Duty"/>
    <n v="1"/>
  </r>
  <r>
    <x v="3"/>
    <s v="Van"/>
    <n v="2"/>
  </r>
  <r>
    <x v="3"/>
    <s v="Heavy Duty"/>
    <n v="42"/>
  </r>
  <r>
    <x v="3"/>
    <s v="SUV"/>
    <n v="1"/>
  </r>
  <r>
    <x v="3"/>
    <s v="Sedan"/>
    <n v="11"/>
  </r>
  <r>
    <x v="4"/>
    <s v="SUV"/>
    <n v="1"/>
  </r>
  <r>
    <x v="5"/>
    <s v="CUV"/>
    <n v="9"/>
  </r>
  <r>
    <x v="5"/>
    <s v="SUV"/>
    <n v="27"/>
  </r>
  <r>
    <x v="5"/>
    <s v="Pick Up Trucks"/>
    <n v="24"/>
  </r>
  <r>
    <x v="5"/>
    <s v="Van"/>
    <n v="1"/>
  </r>
  <r>
    <x v="5"/>
    <s v="Sedan"/>
    <n v="48"/>
  </r>
  <r>
    <x v="6"/>
    <s v="Van"/>
    <n v="1"/>
  </r>
  <r>
    <x v="7"/>
    <s v="Sedan"/>
    <n v="6"/>
  </r>
  <r>
    <x v="7"/>
    <s v="Pick Up Trucks"/>
    <n v="5"/>
  </r>
  <r>
    <x v="7"/>
    <s v="SUV"/>
    <n v="2"/>
  </r>
  <r>
    <x v="7"/>
    <s v="Van"/>
    <n v="15"/>
  </r>
  <r>
    <x v="7"/>
    <s v="Off Road Vehicle Equipment"/>
    <n v="7"/>
  </r>
  <r>
    <x v="8"/>
    <s v="Public Safety SUV"/>
    <n v="20"/>
  </r>
  <r>
    <x v="8"/>
    <s v="Sedan"/>
    <n v="1"/>
  </r>
  <r>
    <x v="8"/>
    <s v="Medium Duty"/>
    <n v="1"/>
  </r>
  <r>
    <x v="8"/>
    <s v="Pick Up Trucks"/>
    <n v="3"/>
  </r>
  <r>
    <x v="8"/>
    <s v="SUV"/>
    <n v="1"/>
  </r>
  <r>
    <x v="8"/>
    <s v="Public Safety Van"/>
    <n v="8"/>
  </r>
  <r>
    <x v="8"/>
    <s v="Public Safety CUV"/>
    <n v="4"/>
  </r>
  <r>
    <x v="8"/>
    <s v="Public Safety Sedan"/>
    <n v="46"/>
  </r>
  <r>
    <x v="8"/>
    <s v="Public Safety Pick Up Trucks"/>
    <n v="1"/>
  </r>
  <r>
    <x v="9"/>
    <s v="Public Safety Sedan"/>
    <n v="1"/>
  </r>
  <r>
    <x v="9"/>
    <s v="Van"/>
    <n v="1"/>
  </r>
  <r>
    <x v="9"/>
    <s v="SUV"/>
    <n v="1"/>
  </r>
  <r>
    <x v="9"/>
    <s v="Sedan"/>
    <n v="2"/>
  </r>
  <r>
    <x v="10"/>
    <s v="Pick Up Trucks"/>
    <n v="1"/>
  </r>
  <r>
    <x v="10"/>
    <s v="CUV"/>
    <n v="1"/>
  </r>
  <r>
    <x v="10"/>
    <s v="Van"/>
    <n v="11"/>
  </r>
  <r>
    <x v="10"/>
    <s v="SUV"/>
    <n v="3"/>
  </r>
  <r>
    <x v="11"/>
    <s v="Pick Up Trucks"/>
    <n v="93"/>
  </r>
  <r>
    <x v="11"/>
    <s v="Heavy Duty"/>
    <n v="248"/>
  </r>
  <r>
    <x v="11"/>
    <s v="Transit Bus"/>
    <n v="379"/>
  </r>
  <r>
    <x v="11"/>
    <s v="SUV"/>
    <n v="53"/>
  </r>
  <r>
    <x v="11"/>
    <s v="Van"/>
    <n v="32"/>
  </r>
  <r>
    <x v="11"/>
    <s v="Medium Duty"/>
    <n v="98"/>
  </r>
  <r>
    <x v="11"/>
    <s v="Off Road Vehicle Equipment"/>
    <n v="276"/>
  </r>
  <r>
    <x v="11"/>
    <s v="CUV"/>
    <n v="5"/>
  </r>
  <r>
    <x v="11"/>
    <s v="Sedan"/>
    <n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55EDE-2AE0-43D1-B35F-6703124DD1B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B866D-66F4-4DA5-9BCB-61A4FF3B17B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 Labels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38151-B219-47CB-8BEC-E00D2DC924C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 Labels">
  <location ref="A3:B21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6"/>
    </i>
    <i r="1">
      <x/>
    </i>
    <i r="1">
      <x v="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631163-C00E-4ED2-8C7D-45FEFCAE465B}" name="Table2" displayName="Table2" ref="A1:C50" totalsRowShown="0">
  <autoFilter ref="A1:C50" xr:uid="{E3631163-C00E-4ED2-8C7D-45FEFCAE465B}"/>
  <tableColumns count="3">
    <tableColumn id="1" xr3:uid="{88414E33-4A6C-4B8E-916C-FA88D4C049F5}" name="Department"/>
    <tableColumn id="2" xr3:uid="{B840654E-E5D7-4E8E-96B7-201D942E29E8}" name="Equipment Class"/>
    <tableColumn id="3" xr3:uid="{3E309312-8289-4C66-BD91-C7EFE759A3CF}" name="Equipment Count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F69C-419A-4E3F-83CE-3E522F114FD2}">
  <dimension ref="A3:B16"/>
  <sheetViews>
    <sheetView workbookViewId="0">
      <selection activeCell="B3" sqref="B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3" t="s">
        <v>34</v>
      </c>
      <c r="B3" t="s">
        <v>35</v>
      </c>
    </row>
    <row r="4" spans="1:2" x14ac:dyDescent="0.3">
      <c r="A4" s="4" t="s">
        <v>26</v>
      </c>
      <c r="B4" s="5">
        <v>1221</v>
      </c>
    </row>
    <row r="5" spans="1:2" x14ac:dyDescent="0.3">
      <c r="A5" s="4" t="s">
        <v>15</v>
      </c>
      <c r="B5" s="5">
        <v>109</v>
      </c>
    </row>
    <row r="6" spans="1:2" x14ac:dyDescent="0.3">
      <c r="A6" s="4" t="s">
        <v>19</v>
      </c>
      <c r="B6" s="5">
        <v>85</v>
      </c>
    </row>
    <row r="7" spans="1:2" x14ac:dyDescent="0.3">
      <c r="A7" s="4" t="s">
        <v>12</v>
      </c>
      <c r="B7" s="5">
        <v>56</v>
      </c>
    </row>
    <row r="8" spans="1:2" x14ac:dyDescent="0.3">
      <c r="A8" s="4" t="s">
        <v>5</v>
      </c>
      <c r="B8" s="5">
        <v>45</v>
      </c>
    </row>
    <row r="9" spans="1:2" x14ac:dyDescent="0.3">
      <c r="A9" s="4" t="s">
        <v>18</v>
      </c>
      <c r="B9" s="5">
        <v>35</v>
      </c>
    </row>
    <row r="10" spans="1:2" x14ac:dyDescent="0.3">
      <c r="A10" s="4" t="s">
        <v>25</v>
      </c>
      <c r="B10" s="5">
        <v>16</v>
      </c>
    </row>
    <row r="11" spans="1:2" x14ac:dyDescent="0.3">
      <c r="A11" s="4" t="s">
        <v>9</v>
      </c>
      <c r="B11" s="5">
        <v>6</v>
      </c>
    </row>
    <row r="12" spans="1:2" x14ac:dyDescent="0.3">
      <c r="A12" s="4" t="s">
        <v>24</v>
      </c>
      <c r="B12" s="5">
        <v>5</v>
      </c>
    </row>
    <row r="13" spans="1:2" x14ac:dyDescent="0.3">
      <c r="A13" s="4" t="s">
        <v>8</v>
      </c>
      <c r="B13" s="5">
        <v>2</v>
      </c>
    </row>
    <row r="14" spans="1:2" x14ac:dyDescent="0.3">
      <c r="A14" s="4" t="s">
        <v>14</v>
      </c>
      <c r="B14" s="5">
        <v>1</v>
      </c>
    </row>
    <row r="15" spans="1:2" x14ac:dyDescent="0.3">
      <c r="A15" s="4" t="s">
        <v>17</v>
      </c>
      <c r="B15" s="5">
        <v>1</v>
      </c>
    </row>
    <row r="16" spans="1:2" x14ac:dyDescent="0.3">
      <c r="A16" s="4" t="s">
        <v>36</v>
      </c>
      <c r="B16" s="5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9E68-37DD-43D5-AA65-0905A903643A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3" t="s">
        <v>34</v>
      </c>
      <c r="B3" t="s">
        <v>35</v>
      </c>
    </row>
    <row r="4" spans="1:2" x14ac:dyDescent="0.3">
      <c r="A4" s="4" t="s">
        <v>26</v>
      </c>
      <c r="B4" s="5">
        <v>1221</v>
      </c>
    </row>
    <row r="5" spans="1:2" x14ac:dyDescent="0.3">
      <c r="A5" s="6" t="s">
        <v>16</v>
      </c>
      <c r="B5" s="5">
        <v>5</v>
      </c>
    </row>
    <row r="6" spans="1:2" x14ac:dyDescent="0.3">
      <c r="A6" s="6" t="s">
        <v>13</v>
      </c>
      <c r="B6" s="5">
        <v>248</v>
      </c>
    </row>
    <row r="7" spans="1:2" x14ac:dyDescent="0.3">
      <c r="A7" s="6" t="s">
        <v>11</v>
      </c>
      <c r="B7" s="5">
        <v>98</v>
      </c>
    </row>
    <row r="8" spans="1:2" x14ac:dyDescent="0.3">
      <c r="A8" s="6" t="s">
        <v>28</v>
      </c>
      <c r="B8" s="5">
        <v>276</v>
      </c>
    </row>
    <row r="9" spans="1:2" x14ac:dyDescent="0.3">
      <c r="A9" s="6" t="s">
        <v>6</v>
      </c>
      <c r="B9" s="5">
        <v>93</v>
      </c>
    </row>
    <row r="10" spans="1:2" x14ac:dyDescent="0.3">
      <c r="A10" s="6" t="s">
        <v>4</v>
      </c>
      <c r="B10" s="5">
        <v>37</v>
      </c>
    </row>
    <row r="11" spans="1:2" x14ac:dyDescent="0.3">
      <c r="A11" s="6" t="s">
        <v>7</v>
      </c>
      <c r="B11" s="5">
        <v>53</v>
      </c>
    </row>
    <row r="12" spans="1:2" x14ac:dyDescent="0.3">
      <c r="A12" s="6" t="s">
        <v>27</v>
      </c>
      <c r="B12" s="5">
        <v>379</v>
      </c>
    </row>
    <row r="13" spans="1:2" x14ac:dyDescent="0.3">
      <c r="A13" s="6" t="s">
        <v>10</v>
      </c>
      <c r="B13" s="5">
        <v>32</v>
      </c>
    </row>
    <row r="14" spans="1:2" x14ac:dyDescent="0.3">
      <c r="A14" s="4" t="s">
        <v>15</v>
      </c>
      <c r="B14" s="5">
        <v>109</v>
      </c>
    </row>
    <row r="15" spans="1:2" x14ac:dyDescent="0.3">
      <c r="A15" s="4" t="s">
        <v>19</v>
      </c>
      <c r="B15" s="5">
        <v>85</v>
      </c>
    </row>
    <row r="16" spans="1:2" x14ac:dyDescent="0.3">
      <c r="A16" s="4" t="s">
        <v>12</v>
      </c>
      <c r="B16" s="5">
        <v>56</v>
      </c>
    </row>
    <row r="17" spans="1:2" x14ac:dyDescent="0.3">
      <c r="A17" s="4" t="s">
        <v>5</v>
      </c>
      <c r="B17" s="5">
        <v>45</v>
      </c>
    </row>
    <row r="18" spans="1:2" x14ac:dyDescent="0.3">
      <c r="A18" s="4" t="s">
        <v>18</v>
      </c>
      <c r="B18" s="5">
        <v>35</v>
      </c>
    </row>
    <row r="19" spans="1:2" x14ac:dyDescent="0.3">
      <c r="A19" s="4" t="s">
        <v>25</v>
      </c>
      <c r="B19" s="5">
        <v>16</v>
      </c>
    </row>
    <row r="20" spans="1:2" x14ac:dyDescent="0.3">
      <c r="A20" s="4" t="s">
        <v>9</v>
      </c>
      <c r="B20" s="5">
        <v>6</v>
      </c>
    </row>
    <row r="21" spans="1:2" x14ac:dyDescent="0.3">
      <c r="A21" s="4" t="s">
        <v>24</v>
      </c>
      <c r="B21" s="5">
        <v>5</v>
      </c>
    </row>
    <row r="22" spans="1:2" x14ac:dyDescent="0.3">
      <c r="A22" s="4" t="s">
        <v>8</v>
      </c>
      <c r="B22" s="5">
        <v>2</v>
      </c>
    </row>
    <row r="23" spans="1:2" x14ac:dyDescent="0.3">
      <c r="A23" s="4" t="s">
        <v>14</v>
      </c>
      <c r="B23" s="5">
        <v>1</v>
      </c>
    </row>
    <row r="24" spans="1:2" x14ac:dyDescent="0.3">
      <c r="A24" s="4" t="s">
        <v>17</v>
      </c>
      <c r="B24" s="5">
        <v>1</v>
      </c>
    </row>
    <row r="25" spans="1:2" x14ac:dyDescent="0.3">
      <c r="A25" s="4" t="s">
        <v>36</v>
      </c>
      <c r="B25" s="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31C9-F580-44A0-B7C9-E976D278A122}">
  <dimension ref="A3:B21"/>
  <sheetViews>
    <sheetView tabSelected="1" topLeftCell="A2" workbookViewId="0">
      <selection activeCell="A4" sqref="A4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3" t="s">
        <v>34</v>
      </c>
      <c r="B3" t="s">
        <v>35</v>
      </c>
    </row>
    <row r="4" spans="1:2" x14ac:dyDescent="0.3">
      <c r="A4" s="4" t="s">
        <v>16</v>
      </c>
      <c r="B4" s="5">
        <v>15</v>
      </c>
    </row>
    <row r="5" spans="1:2" x14ac:dyDescent="0.3">
      <c r="A5" s="6" t="s">
        <v>15</v>
      </c>
      <c r="B5" s="5">
        <v>9</v>
      </c>
    </row>
    <row r="6" spans="1:2" x14ac:dyDescent="0.3">
      <c r="A6" s="6" t="s">
        <v>26</v>
      </c>
      <c r="B6" s="5">
        <v>5</v>
      </c>
    </row>
    <row r="7" spans="1:2" x14ac:dyDescent="0.3">
      <c r="A7" s="6" t="s">
        <v>25</v>
      </c>
      <c r="B7" s="5">
        <v>1</v>
      </c>
    </row>
    <row r="8" spans="1:2" x14ac:dyDescent="0.3">
      <c r="A8" s="4" t="s">
        <v>13</v>
      </c>
      <c r="B8" s="5">
        <v>290</v>
      </c>
    </row>
    <row r="9" spans="1:2" x14ac:dyDescent="0.3">
      <c r="A9" s="4" t="s">
        <v>11</v>
      </c>
      <c r="B9" s="5">
        <v>100</v>
      </c>
    </row>
    <row r="10" spans="1:2" x14ac:dyDescent="0.3">
      <c r="A10" s="4" t="s">
        <v>28</v>
      </c>
      <c r="B10" s="5">
        <v>283</v>
      </c>
    </row>
    <row r="11" spans="1:2" x14ac:dyDescent="0.3">
      <c r="A11" s="4" t="s">
        <v>6</v>
      </c>
      <c r="B11" s="5">
        <v>150</v>
      </c>
    </row>
    <row r="12" spans="1:2" x14ac:dyDescent="0.3">
      <c r="A12" s="4" t="s">
        <v>21</v>
      </c>
      <c r="B12" s="5">
        <v>4</v>
      </c>
    </row>
    <row r="13" spans="1:2" x14ac:dyDescent="0.3">
      <c r="A13" s="4" t="s">
        <v>23</v>
      </c>
      <c r="B13" s="5">
        <v>1</v>
      </c>
    </row>
    <row r="14" spans="1:2" x14ac:dyDescent="0.3">
      <c r="A14" s="4" t="s">
        <v>22</v>
      </c>
      <c r="B14" s="5">
        <v>47</v>
      </c>
    </row>
    <row r="15" spans="1:2" x14ac:dyDescent="0.3">
      <c r="A15" s="4" t="s">
        <v>3</v>
      </c>
      <c r="B15" s="5">
        <v>20</v>
      </c>
    </row>
    <row r="16" spans="1:2" x14ac:dyDescent="0.3">
      <c r="A16" s="4" t="s">
        <v>20</v>
      </c>
      <c r="B16" s="5">
        <v>8</v>
      </c>
    </row>
    <row r="17" spans="1:2" x14ac:dyDescent="0.3">
      <c r="A17" s="4" t="s">
        <v>4</v>
      </c>
      <c r="B17" s="5">
        <v>130</v>
      </c>
    </row>
    <row r="18" spans="1:2" x14ac:dyDescent="0.3">
      <c r="A18" s="4" t="s">
        <v>7</v>
      </c>
      <c r="B18" s="5">
        <v>90</v>
      </c>
    </row>
    <row r="19" spans="1:2" x14ac:dyDescent="0.3">
      <c r="A19" s="4" t="s">
        <v>27</v>
      </c>
      <c r="B19" s="5">
        <v>379</v>
      </c>
    </row>
    <row r="20" spans="1:2" x14ac:dyDescent="0.3">
      <c r="A20" s="4" t="s">
        <v>10</v>
      </c>
      <c r="B20" s="5">
        <v>65</v>
      </c>
    </row>
    <row r="21" spans="1:2" x14ac:dyDescent="0.3">
      <c r="A21" s="4" t="s">
        <v>36</v>
      </c>
      <c r="B21" s="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6"/>
  <sheetViews>
    <sheetView topLeftCell="A27" workbookViewId="0">
      <selection activeCell="F18" sqref="F18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2" spans="1:3" x14ac:dyDescent="0.3">
      <c r="B52" s="2" t="s">
        <v>29</v>
      </c>
      <c r="C52" s="2">
        <f>SUM(C2:C51)</f>
        <v>1582</v>
      </c>
    </row>
    <row r="53" spans="1:3" x14ac:dyDescent="0.3">
      <c r="B53" s="1" t="s">
        <v>30</v>
      </c>
      <c r="C53" s="1">
        <f>AVERAGE(C1:C50)</f>
        <v>32.285714285714285</v>
      </c>
    </row>
    <row r="54" spans="1:3" x14ac:dyDescent="0.3">
      <c r="B54" s="1" t="s">
        <v>31</v>
      </c>
      <c r="C54" s="1">
        <f>MIN(C1:C50)</f>
        <v>1</v>
      </c>
    </row>
    <row r="55" spans="1:3" x14ac:dyDescent="0.3">
      <c r="B55" s="1" t="s">
        <v>32</v>
      </c>
      <c r="C55" s="1">
        <f>MAX(C1:C50)</f>
        <v>379</v>
      </c>
    </row>
    <row r="56" spans="1:3" x14ac:dyDescent="0.3">
      <c r="B56" s="1" t="s">
        <v>33</v>
      </c>
      <c r="C56" s="1">
        <f>COUNT(C1:C50)</f>
        <v>49</v>
      </c>
    </row>
    <row r="1048576" spans="3:3" x14ac:dyDescent="0.3">
      <c r="C1048576">
        <f>SUM(C2:C1048575)</f>
        <v>3625.2857142857142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Pivot 2</vt:lpstr>
      <vt:lpstr>Pivot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Lorrinda Khan</cp:lastModifiedBy>
  <dcterms:created xsi:type="dcterms:W3CDTF">2020-09-01T17:18:12Z</dcterms:created>
  <dcterms:modified xsi:type="dcterms:W3CDTF">2025-12-24T13:04:49Z</dcterms:modified>
</cp:coreProperties>
</file>